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RA\SCORCH Greenspace DCE\"/>
    </mc:Choice>
  </mc:AlternateContent>
  <xr:revisionPtr revIDLastSave="0" documentId="13_ncr:1_{83435651-2001-44CF-B300-24780EC4BC23}" xr6:coauthVersionLast="47" xr6:coauthVersionMax="47" xr10:uidLastSave="{00000000-0000-0000-0000-000000000000}"/>
  <bookViews>
    <workbookView xWindow="-120" yWindow="-120" windowWidth="24240" windowHeight="13020" xr2:uid="{1B350C1E-77A4-45A5-AB2D-40B5C5C898ED}"/>
  </bookViews>
  <sheets>
    <sheet name="Attributes" sheetId="6" r:id="rId1"/>
    <sheet name="Design | Choice Tasks" sheetId="1" r:id="rId2"/>
    <sheet name="Correlations" sheetId="8" r:id="rId3"/>
    <sheet name="Design properti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5" l="1"/>
  <c r="F26" i="5" s="1"/>
  <c r="R4" i="5"/>
  <c r="W4" i="5" s="1"/>
  <c r="D32" i="5"/>
  <c r="E27" i="5"/>
  <c r="T5" i="5"/>
  <c r="T4" i="5"/>
  <c r="R3" i="5"/>
  <c r="E33" i="5"/>
  <c r="D23" i="5"/>
  <c r="C23" i="5"/>
  <c r="E40" i="5"/>
  <c r="D40" i="5"/>
  <c r="C40" i="5"/>
  <c r="E39" i="5"/>
  <c r="D39" i="5"/>
  <c r="C39" i="5"/>
  <c r="E38" i="5"/>
  <c r="G38" i="5" s="1"/>
  <c r="D38" i="5"/>
  <c r="C38" i="5"/>
  <c r="E37" i="5"/>
  <c r="D37" i="5"/>
  <c r="C37" i="5"/>
  <c r="E36" i="5"/>
  <c r="D36" i="5"/>
  <c r="C36" i="5"/>
  <c r="E35" i="5"/>
  <c r="G35" i="5" s="1"/>
  <c r="D35" i="5"/>
  <c r="F35" i="5" s="1"/>
  <c r="C35" i="5"/>
  <c r="E34" i="5"/>
  <c r="G32" i="5" s="1"/>
  <c r="D34" i="5"/>
  <c r="C34" i="5"/>
  <c r="D33" i="5"/>
  <c r="C33" i="5"/>
  <c r="E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D27" i="5"/>
  <c r="C27" i="5"/>
  <c r="E26" i="5"/>
  <c r="G26" i="5" s="1"/>
  <c r="C26" i="5"/>
  <c r="E25" i="5"/>
  <c r="D25" i="5"/>
  <c r="C25" i="5"/>
  <c r="E24" i="5"/>
  <c r="G23" i="5" s="1"/>
  <c r="D24" i="5"/>
  <c r="F23" i="5" s="1"/>
  <c r="C24" i="5"/>
  <c r="E23" i="5"/>
  <c r="V20" i="5"/>
  <c r="U20" i="5"/>
  <c r="T20" i="5"/>
  <c r="S20" i="5"/>
  <c r="R20" i="5"/>
  <c r="Q20" i="5"/>
  <c r="W20" i="5"/>
  <c r="V19" i="5"/>
  <c r="U19" i="5"/>
  <c r="T19" i="5"/>
  <c r="S19" i="5"/>
  <c r="R19" i="5"/>
  <c r="Q19" i="5"/>
  <c r="W19" i="5"/>
  <c r="V18" i="5"/>
  <c r="W18" i="5" s="1"/>
  <c r="U18" i="5"/>
  <c r="T18" i="5"/>
  <c r="S18" i="5"/>
  <c r="R18" i="5"/>
  <c r="Q18" i="5"/>
  <c r="V17" i="5"/>
  <c r="U17" i="5"/>
  <c r="T17" i="5"/>
  <c r="S17" i="5"/>
  <c r="W17" i="5" s="1"/>
  <c r="R17" i="5"/>
  <c r="Q17" i="5"/>
  <c r="V16" i="5"/>
  <c r="U16" i="5"/>
  <c r="T16" i="5"/>
  <c r="S16" i="5"/>
  <c r="R16" i="5"/>
  <c r="Q16" i="5"/>
  <c r="W16" i="5"/>
  <c r="V15" i="5"/>
  <c r="U15" i="5"/>
  <c r="T15" i="5"/>
  <c r="S15" i="5"/>
  <c r="R15" i="5"/>
  <c r="Q15" i="5"/>
  <c r="W15" i="5"/>
  <c r="V14" i="5"/>
  <c r="W14" i="5" s="1"/>
  <c r="U14" i="5"/>
  <c r="T14" i="5"/>
  <c r="S14" i="5"/>
  <c r="R14" i="5"/>
  <c r="Q14" i="5"/>
  <c r="V13" i="5"/>
  <c r="U13" i="5"/>
  <c r="T13" i="5"/>
  <c r="S13" i="5"/>
  <c r="W13" i="5" s="1"/>
  <c r="R13" i="5"/>
  <c r="Q13" i="5"/>
  <c r="V12" i="5"/>
  <c r="U12" i="5"/>
  <c r="T12" i="5"/>
  <c r="S12" i="5"/>
  <c r="R12" i="5"/>
  <c r="Q12" i="5"/>
  <c r="W12" i="5"/>
  <c r="V11" i="5"/>
  <c r="U11" i="5"/>
  <c r="T11" i="5"/>
  <c r="S11" i="5"/>
  <c r="R11" i="5"/>
  <c r="Q11" i="5"/>
  <c r="W11" i="5"/>
  <c r="V10" i="5"/>
  <c r="W10" i="5" s="1"/>
  <c r="U10" i="5"/>
  <c r="T10" i="5"/>
  <c r="S10" i="5"/>
  <c r="R10" i="5"/>
  <c r="Q10" i="5"/>
  <c r="V9" i="5"/>
  <c r="U9" i="5"/>
  <c r="T9" i="5"/>
  <c r="S9" i="5"/>
  <c r="W9" i="5" s="1"/>
  <c r="R9" i="5"/>
  <c r="Q9" i="5"/>
  <c r="V8" i="5"/>
  <c r="U8" i="5"/>
  <c r="T8" i="5"/>
  <c r="S8" i="5"/>
  <c r="R8" i="5"/>
  <c r="Q8" i="5"/>
  <c r="W8" i="5"/>
  <c r="V7" i="5"/>
  <c r="U7" i="5"/>
  <c r="T7" i="5"/>
  <c r="S7" i="5"/>
  <c r="R7" i="5"/>
  <c r="Q7" i="5"/>
  <c r="W7" i="5"/>
  <c r="V6" i="5"/>
  <c r="W6" i="5" s="1"/>
  <c r="U6" i="5"/>
  <c r="T6" i="5"/>
  <c r="S6" i="5"/>
  <c r="R6" i="5"/>
  <c r="Q6" i="5"/>
  <c r="V5" i="5"/>
  <c r="U5" i="5"/>
  <c r="S5" i="5"/>
  <c r="R5" i="5"/>
  <c r="W5" i="5" s="1"/>
  <c r="Q5" i="5"/>
  <c r="V4" i="5"/>
  <c r="U4" i="5"/>
  <c r="S4" i="5"/>
  <c r="Q4" i="5"/>
  <c r="V3" i="5"/>
  <c r="U3" i="5"/>
  <c r="T3" i="5"/>
  <c r="S3" i="5"/>
  <c r="Q3" i="5"/>
  <c r="W3" i="5"/>
  <c r="F32" i="5"/>
  <c r="F29" i="5"/>
  <c r="G29" i="5"/>
  <c r="F38" i="5"/>
</calcChain>
</file>

<file path=xl/sharedStrings.xml><?xml version="1.0" encoding="utf-8"?>
<sst xmlns="http://schemas.openxmlformats.org/spreadsheetml/2006/main" count="300" uniqueCount="52">
  <si>
    <t>Choice situation</t>
  </si>
  <si>
    <t>Block</t>
  </si>
  <si>
    <t>alt1.proximity</t>
  </si>
  <si>
    <t>alt1.plant</t>
  </si>
  <si>
    <t>alt1.safety</t>
  </si>
  <si>
    <t>alt1.shade</t>
  </si>
  <si>
    <t>alt1.accessibility</t>
  </si>
  <si>
    <t>alt2.proximity</t>
  </si>
  <si>
    <t>alt2.plant</t>
  </si>
  <si>
    <t>alt2.safety</t>
  </si>
  <si>
    <t>alt2.shade</t>
  </si>
  <si>
    <t>alt2.accessibility</t>
  </si>
  <si>
    <t>3</t>
  </si>
  <si>
    <t>1</t>
  </si>
  <si>
    <t>2</t>
  </si>
  <si>
    <t>Attribute</t>
  </si>
  <si>
    <t xml:space="preserve"> </t>
  </si>
  <si>
    <t>Design</t>
  </si>
  <si>
    <t>Overlap</t>
  </si>
  <si>
    <t>proximity</t>
  </si>
  <si>
    <t>plant</t>
  </si>
  <si>
    <t>safety</t>
  </si>
  <si>
    <t>shade</t>
  </si>
  <si>
    <t>accessibility</t>
  </si>
  <si>
    <t>Total Overlap</t>
  </si>
  <si>
    <t>Level Balance</t>
  </si>
  <si>
    <t>Level    </t>
  </si>
  <si>
    <t xml:space="preserve">Design Level Balance </t>
  </si>
  <si>
    <t>Level Balance Block 1</t>
  </si>
  <si>
    <t>Level Balance  Block 2</t>
  </si>
  <si>
    <t>1 miles</t>
  </si>
  <si>
    <t>2-4 miles</t>
  </si>
  <si>
    <t>&gt; 4 miles</t>
  </si>
  <si>
    <t>Mostly non-native plants</t>
  </si>
  <si>
    <t>Mix of native and non-native plants</t>
  </si>
  <si>
    <t>Mostly native plants</t>
  </si>
  <si>
    <t>Lighting</t>
  </si>
  <si>
    <t>Shade from a tree</t>
  </si>
  <si>
    <t>Shade from ramada</t>
  </si>
  <si>
    <t>No shade</t>
  </si>
  <si>
    <t>Mostly paved park paths and accessible amenities</t>
  </si>
  <si>
    <t>No paths and no accessibility routes</t>
  </si>
  <si>
    <t>Some natural park paths and limited accessibility routes</t>
  </si>
  <si>
    <t>No safety features</t>
  </si>
  <si>
    <t>Patrol</t>
  </si>
  <si>
    <t>No additional amenities</t>
  </si>
  <si>
    <t>Nature Play</t>
  </si>
  <si>
    <t>Gathering areas</t>
  </si>
  <si>
    <t>Safety</t>
  </si>
  <si>
    <t>alt1.amenities</t>
  </si>
  <si>
    <t>alt2.amenities</t>
  </si>
  <si>
    <t>amenities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</si>
</sst>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2"/>
      <name val="Calibri"/>
      <family val="2"/>
    </font>
    <font>
      <sz val="8"/>
      <name val="Calibri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Verdana"/>
      <family val="2"/>
    </font>
    <font>
      <b/>
      <sz val="9"/>
      <color rgb="FFFF0000"/>
      <name val="Verdana"/>
      <family val="2"/>
    </font>
    <font>
      <sz val="9"/>
      <color theme="1"/>
      <name val="Verdana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0" borderId="1" xfId="0" applyBorder="1"/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B64F-DD12-4EAE-9211-60D92C02931B}">
  <dimension ref="A1:D20"/>
  <sheetViews>
    <sheetView tabSelected="1" workbookViewId="0">
      <selection activeCell="C12" sqref="C12"/>
    </sheetView>
  </sheetViews>
  <sheetFormatPr defaultColWidth="8.875" defaultRowHeight="15.75" x14ac:dyDescent="0.25"/>
  <cols>
    <col min="1" max="1" width="52.375" customWidth="1"/>
    <col min="2" max="2" width="7.375" bestFit="1" customWidth="1"/>
    <col min="3" max="3" width="47.625" bestFit="1" customWidth="1"/>
  </cols>
  <sheetData>
    <row r="1" spans="1:3" ht="22.5" x14ac:dyDescent="0.25">
      <c r="A1" s="5" t="s">
        <v>15</v>
      </c>
      <c r="B1" s="5" t="s">
        <v>26</v>
      </c>
    </row>
    <row r="2" spans="1:3" x14ac:dyDescent="0.25">
      <c r="A2" s="7" t="s">
        <v>19</v>
      </c>
      <c r="B2" s="7">
        <v>1</v>
      </c>
      <c r="C2" s="2" t="s">
        <v>32</v>
      </c>
    </row>
    <row r="3" spans="1:3" x14ac:dyDescent="0.25">
      <c r="A3" s="7"/>
      <c r="B3" s="7">
        <v>2</v>
      </c>
      <c r="C3" t="s">
        <v>31</v>
      </c>
    </row>
    <row r="4" spans="1:3" x14ac:dyDescent="0.25">
      <c r="A4" s="7"/>
      <c r="B4" s="7">
        <v>3</v>
      </c>
      <c r="C4" s="2" t="s">
        <v>30</v>
      </c>
    </row>
    <row r="5" spans="1:3" x14ac:dyDescent="0.25">
      <c r="A5" s="2" t="s">
        <v>51</v>
      </c>
      <c r="B5" s="7">
        <v>1</v>
      </c>
      <c r="C5" s="2" t="s">
        <v>47</v>
      </c>
    </row>
    <row r="6" spans="1:3" x14ac:dyDescent="0.25">
      <c r="B6" s="7">
        <v>2</v>
      </c>
      <c r="C6" s="2" t="s">
        <v>46</v>
      </c>
    </row>
    <row r="7" spans="1:3" x14ac:dyDescent="0.25">
      <c r="B7" s="7">
        <v>3</v>
      </c>
      <c r="C7" s="2" t="s">
        <v>45</v>
      </c>
    </row>
    <row r="8" spans="1:3" x14ac:dyDescent="0.25">
      <c r="A8" s="2" t="s">
        <v>20</v>
      </c>
      <c r="B8" s="7">
        <v>1</v>
      </c>
      <c r="C8" s="2" t="s">
        <v>35</v>
      </c>
    </row>
    <row r="9" spans="1:3" x14ac:dyDescent="0.25">
      <c r="A9" s="2"/>
      <c r="B9" s="7">
        <v>2</v>
      </c>
      <c r="C9" s="2" t="s">
        <v>34</v>
      </c>
    </row>
    <row r="10" spans="1:3" x14ac:dyDescent="0.25">
      <c r="B10" s="7">
        <v>3</v>
      </c>
      <c r="C10" s="2" t="s">
        <v>33</v>
      </c>
    </row>
    <row r="11" spans="1:3" x14ac:dyDescent="0.25">
      <c r="A11" s="2" t="s">
        <v>48</v>
      </c>
      <c r="B11" s="7">
        <v>1</v>
      </c>
      <c r="C11" s="2" t="s">
        <v>43</v>
      </c>
    </row>
    <row r="12" spans="1:3" x14ac:dyDescent="0.25">
      <c r="A12" s="2"/>
      <c r="B12" s="7">
        <v>2</v>
      </c>
      <c r="C12" s="2" t="s">
        <v>36</v>
      </c>
    </row>
    <row r="13" spans="1:3" x14ac:dyDescent="0.25">
      <c r="A13" s="2"/>
      <c r="B13" s="7">
        <v>3</v>
      </c>
      <c r="C13" s="2" t="s">
        <v>44</v>
      </c>
    </row>
    <row r="14" spans="1:3" x14ac:dyDescent="0.25">
      <c r="A14" s="2" t="s">
        <v>22</v>
      </c>
      <c r="B14" s="7">
        <v>1</v>
      </c>
      <c r="C14" s="2" t="s">
        <v>38</v>
      </c>
    </row>
    <row r="15" spans="1:3" x14ac:dyDescent="0.25">
      <c r="B15" s="7">
        <v>2</v>
      </c>
      <c r="C15" s="2" t="s">
        <v>37</v>
      </c>
    </row>
    <row r="16" spans="1:3" x14ac:dyDescent="0.25">
      <c r="B16" s="7">
        <v>3</v>
      </c>
      <c r="C16" s="2" t="s">
        <v>39</v>
      </c>
    </row>
    <row r="17" spans="1:4" x14ac:dyDescent="0.25">
      <c r="A17" s="2" t="s">
        <v>23</v>
      </c>
      <c r="B17" s="7">
        <v>1</v>
      </c>
      <c r="C17" s="2" t="s">
        <v>40</v>
      </c>
    </row>
    <row r="18" spans="1:4" x14ac:dyDescent="0.25">
      <c r="B18" s="7">
        <v>2</v>
      </c>
      <c r="C18" s="2" t="s">
        <v>42</v>
      </c>
    </row>
    <row r="19" spans="1:4" x14ac:dyDescent="0.25">
      <c r="B19" s="7">
        <v>3</v>
      </c>
      <c r="C19" s="2" t="s">
        <v>41</v>
      </c>
    </row>
    <row r="20" spans="1:4" x14ac:dyDescent="0.25">
      <c r="D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7B83-AD15-4272-B43A-8D771823ADAE}">
  <dimension ref="A1:N20"/>
  <sheetViews>
    <sheetView workbookViewId="0">
      <selection activeCell="B12" sqref="B12"/>
    </sheetView>
  </sheetViews>
  <sheetFormatPr defaultColWidth="8.875" defaultRowHeight="15.75" x14ac:dyDescent="0.25"/>
  <cols>
    <col min="1" max="1" width="14.125" bestFit="1" customWidth="1"/>
    <col min="2" max="2" width="5.25" bestFit="1" customWidth="1"/>
    <col min="3" max="3" width="12.125" bestFit="1" customWidth="1"/>
    <col min="4" max="4" width="12.5" bestFit="1" customWidth="1"/>
    <col min="5" max="5" width="8.625" bestFit="1" customWidth="1"/>
    <col min="6" max="6" width="9.125" bestFit="1" customWidth="1"/>
    <col min="7" max="7" width="9.375" bestFit="1" customWidth="1"/>
    <col min="8" max="8" width="14.375" bestFit="1" customWidth="1"/>
    <col min="9" max="9" width="12.125" bestFit="1" customWidth="1"/>
    <col min="10" max="10" width="12.5" bestFit="1" customWidth="1"/>
    <col min="11" max="11" width="8.625" bestFit="1" customWidth="1"/>
    <col min="12" max="12" width="9.125" bestFit="1" customWidth="1"/>
    <col min="13" max="13" width="9.375" bestFit="1" customWidth="1"/>
    <col min="14" max="14" width="14.375" bestFit="1" customWidth="1"/>
  </cols>
  <sheetData>
    <row r="1" spans="1:14" x14ac:dyDescent="0.25">
      <c r="A1" s="8" t="s">
        <v>0</v>
      </c>
      <c r="B1" s="8" t="s">
        <v>1</v>
      </c>
      <c r="C1" s="8" t="s">
        <v>2</v>
      </c>
      <c r="D1" s="9" t="s">
        <v>49</v>
      </c>
      <c r="E1" s="8" t="s">
        <v>3</v>
      </c>
      <c r="F1" s="9" t="s">
        <v>4</v>
      </c>
      <c r="G1" s="9" t="s">
        <v>5</v>
      </c>
      <c r="H1" s="8" t="s">
        <v>6</v>
      </c>
      <c r="I1" s="8" t="s">
        <v>7</v>
      </c>
      <c r="J1" s="9" t="s">
        <v>50</v>
      </c>
      <c r="K1" s="8" t="s">
        <v>8</v>
      </c>
      <c r="L1" s="9" t="s">
        <v>9</v>
      </c>
      <c r="M1" s="8" t="s">
        <v>10</v>
      </c>
      <c r="N1" s="8" t="s">
        <v>11</v>
      </c>
    </row>
    <row r="2" spans="1:14" x14ac:dyDescent="0.25">
      <c r="A2" s="8">
        <v>1</v>
      </c>
      <c r="B2" s="8">
        <v>1</v>
      </c>
      <c r="C2" s="8">
        <v>1</v>
      </c>
      <c r="D2" s="8">
        <v>1</v>
      </c>
      <c r="E2" s="8" t="s">
        <v>12</v>
      </c>
      <c r="F2" s="8">
        <v>3</v>
      </c>
      <c r="G2" s="8">
        <v>2</v>
      </c>
      <c r="H2" s="8">
        <v>1</v>
      </c>
      <c r="I2" s="8">
        <v>3</v>
      </c>
      <c r="J2" s="8">
        <v>2</v>
      </c>
      <c r="K2" s="8">
        <v>1</v>
      </c>
      <c r="L2" s="8">
        <v>1</v>
      </c>
      <c r="M2" s="8">
        <v>3</v>
      </c>
      <c r="N2" s="8">
        <v>3</v>
      </c>
    </row>
    <row r="3" spans="1:14" x14ac:dyDescent="0.25">
      <c r="A3" s="8">
        <v>2</v>
      </c>
      <c r="B3" s="8">
        <v>1</v>
      </c>
      <c r="C3" s="8" t="s">
        <v>14</v>
      </c>
      <c r="D3" s="8">
        <v>3</v>
      </c>
      <c r="E3" s="8" t="s">
        <v>13</v>
      </c>
      <c r="F3" s="8">
        <v>3</v>
      </c>
      <c r="G3" s="8">
        <v>2</v>
      </c>
      <c r="H3" s="8" t="s">
        <v>14</v>
      </c>
      <c r="I3" s="8" t="s">
        <v>13</v>
      </c>
      <c r="J3" s="8">
        <v>2</v>
      </c>
      <c r="K3" s="8">
        <v>2</v>
      </c>
      <c r="L3" s="8">
        <v>2</v>
      </c>
      <c r="M3" s="8">
        <v>1</v>
      </c>
      <c r="N3" s="8">
        <v>1</v>
      </c>
    </row>
    <row r="4" spans="1:14" x14ac:dyDescent="0.25">
      <c r="A4" s="8">
        <v>3</v>
      </c>
      <c r="B4" s="8">
        <v>1</v>
      </c>
      <c r="C4" s="8" t="s">
        <v>12</v>
      </c>
      <c r="D4" s="8">
        <v>1</v>
      </c>
      <c r="E4" s="8" t="s">
        <v>14</v>
      </c>
      <c r="F4" s="8">
        <v>2</v>
      </c>
      <c r="G4" s="8" t="s">
        <v>12</v>
      </c>
      <c r="H4" s="8">
        <v>3</v>
      </c>
      <c r="I4" s="8" t="s">
        <v>13</v>
      </c>
      <c r="J4" s="8">
        <v>3</v>
      </c>
      <c r="K4" s="8">
        <v>3</v>
      </c>
      <c r="L4" s="8">
        <v>1</v>
      </c>
      <c r="M4" s="8">
        <v>1</v>
      </c>
      <c r="N4" s="8">
        <v>2</v>
      </c>
    </row>
    <row r="5" spans="1:14" x14ac:dyDescent="0.25">
      <c r="A5" s="8">
        <v>4</v>
      </c>
      <c r="B5" s="8">
        <v>1</v>
      </c>
      <c r="C5" s="8" t="s">
        <v>13</v>
      </c>
      <c r="D5" s="8">
        <v>1</v>
      </c>
      <c r="E5" s="8" t="s">
        <v>13</v>
      </c>
      <c r="F5" s="8">
        <v>1</v>
      </c>
      <c r="G5" s="8">
        <v>1</v>
      </c>
      <c r="H5" s="8" t="s">
        <v>14</v>
      </c>
      <c r="I5" s="8" t="s">
        <v>12</v>
      </c>
      <c r="J5" s="8">
        <v>2</v>
      </c>
      <c r="K5" s="8">
        <v>3</v>
      </c>
      <c r="L5" s="8">
        <v>2</v>
      </c>
      <c r="M5" s="8">
        <v>2</v>
      </c>
      <c r="N5" s="8">
        <v>3</v>
      </c>
    </row>
    <row r="6" spans="1:14" x14ac:dyDescent="0.25">
      <c r="A6" s="8">
        <v>5</v>
      </c>
      <c r="B6" s="8">
        <v>1</v>
      </c>
      <c r="C6" s="8" t="s">
        <v>13</v>
      </c>
      <c r="D6" s="8">
        <v>3</v>
      </c>
      <c r="E6" s="8" t="s">
        <v>12</v>
      </c>
      <c r="F6" s="8">
        <v>2</v>
      </c>
      <c r="G6" s="8" t="s">
        <v>12</v>
      </c>
      <c r="H6" s="8" t="s">
        <v>14</v>
      </c>
      <c r="I6" s="8" t="s">
        <v>12</v>
      </c>
      <c r="J6" s="8">
        <v>1</v>
      </c>
      <c r="K6" s="8">
        <v>1</v>
      </c>
      <c r="L6" s="8">
        <v>1</v>
      </c>
      <c r="M6" s="8">
        <v>2</v>
      </c>
      <c r="N6" s="8">
        <v>1</v>
      </c>
    </row>
    <row r="7" spans="1:14" s="2" customFormat="1" x14ac:dyDescent="0.25">
      <c r="A7" s="9">
        <v>6</v>
      </c>
      <c r="B7" s="9">
        <v>1</v>
      </c>
      <c r="C7" s="9" t="s">
        <v>12</v>
      </c>
      <c r="D7" s="9">
        <v>2</v>
      </c>
      <c r="E7" s="9" t="s">
        <v>13</v>
      </c>
      <c r="F7" s="9">
        <v>3</v>
      </c>
      <c r="G7" s="9" t="s">
        <v>12</v>
      </c>
      <c r="H7" s="9" t="s">
        <v>13</v>
      </c>
      <c r="I7" s="9" t="s">
        <v>13</v>
      </c>
      <c r="J7" s="9">
        <v>1</v>
      </c>
      <c r="K7" s="9">
        <v>2</v>
      </c>
      <c r="L7" s="9">
        <v>2</v>
      </c>
      <c r="M7" s="9">
        <v>2</v>
      </c>
      <c r="N7" s="9">
        <v>2</v>
      </c>
    </row>
    <row r="8" spans="1:14" s="2" customFormat="1" x14ac:dyDescent="0.25">
      <c r="A8" s="9">
        <v>7</v>
      </c>
      <c r="B8" s="9">
        <v>1</v>
      </c>
      <c r="C8" s="9" t="s">
        <v>12</v>
      </c>
      <c r="D8" s="9">
        <v>1</v>
      </c>
      <c r="E8" s="9" t="s">
        <v>14</v>
      </c>
      <c r="F8" s="9">
        <v>2</v>
      </c>
      <c r="G8" s="9" t="s">
        <v>13</v>
      </c>
      <c r="H8" s="9" t="s">
        <v>13</v>
      </c>
      <c r="I8" s="9" t="s">
        <v>14</v>
      </c>
      <c r="J8" s="9">
        <v>2</v>
      </c>
      <c r="K8" s="9">
        <v>3</v>
      </c>
      <c r="L8" s="9">
        <v>3</v>
      </c>
      <c r="M8" s="9">
        <v>3</v>
      </c>
      <c r="N8" s="9">
        <v>3</v>
      </c>
    </row>
    <row r="9" spans="1:14" s="2" customFormat="1" x14ac:dyDescent="0.25">
      <c r="A9" s="9">
        <v>8</v>
      </c>
      <c r="B9" s="9">
        <v>1</v>
      </c>
      <c r="C9" s="9" t="s">
        <v>14</v>
      </c>
      <c r="D9" s="9">
        <v>1</v>
      </c>
      <c r="E9" s="9" t="s">
        <v>12</v>
      </c>
      <c r="F9" s="9">
        <v>1</v>
      </c>
      <c r="G9" s="9" t="s">
        <v>12</v>
      </c>
      <c r="H9" s="9" t="s">
        <v>13</v>
      </c>
      <c r="I9" s="9" t="s">
        <v>12</v>
      </c>
      <c r="J9" s="9">
        <v>3</v>
      </c>
      <c r="K9" s="9">
        <v>2</v>
      </c>
      <c r="L9" s="9" t="s">
        <v>12</v>
      </c>
      <c r="M9" s="9">
        <v>2</v>
      </c>
      <c r="N9" s="9">
        <v>3</v>
      </c>
    </row>
    <row r="10" spans="1:14" s="2" customFormat="1" x14ac:dyDescent="0.25">
      <c r="A10" s="9">
        <v>9</v>
      </c>
      <c r="B10" s="9">
        <v>1</v>
      </c>
      <c r="C10" s="9" t="s">
        <v>13</v>
      </c>
      <c r="D10" s="9">
        <v>3</v>
      </c>
      <c r="E10" s="9" t="s">
        <v>14</v>
      </c>
      <c r="F10" s="9">
        <v>3</v>
      </c>
      <c r="G10" s="9" t="s">
        <v>13</v>
      </c>
      <c r="H10" s="9" t="s">
        <v>12</v>
      </c>
      <c r="I10" s="9" t="s">
        <v>14</v>
      </c>
      <c r="J10" s="9">
        <v>2</v>
      </c>
      <c r="K10" s="9">
        <v>1</v>
      </c>
      <c r="L10" s="9">
        <v>2</v>
      </c>
      <c r="M10" s="9" t="s">
        <v>14</v>
      </c>
      <c r="N10" s="9">
        <v>2</v>
      </c>
    </row>
    <row r="11" spans="1:14" s="2" customFormat="1" x14ac:dyDescent="0.25">
      <c r="A11" s="9">
        <v>10</v>
      </c>
      <c r="B11" s="9">
        <v>2</v>
      </c>
      <c r="C11" s="9" t="s">
        <v>13</v>
      </c>
      <c r="D11" s="9">
        <v>3</v>
      </c>
      <c r="E11" s="9" t="s">
        <v>13</v>
      </c>
      <c r="F11" s="9">
        <v>2</v>
      </c>
      <c r="G11" s="9" t="s">
        <v>14</v>
      </c>
      <c r="H11" s="9" t="s">
        <v>13</v>
      </c>
      <c r="I11" s="9" t="s">
        <v>14</v>
      </c>
      <c r="J11" s="9">
        <v>1</v>
      </c>
      <c r="K11" s="9">
        <v>2</v>
      </c>
      <c r="L11" s="9" t="s">
        <v>12</v>
      </c>
      <c r="M11" s="9" t="s">
        <v>13</v>
      </c>
      <c r="N11" s="9">
        <v>2</v>
      </c>
    </row>
    <row r="12" spans="1:14" s="2" customFormat="1" x14ac:dyDescent="0.25">
      <c r="A12" s="9">
        <v>11</v>
      </c>
      <c r="B12" s="9">
        <v>2</v>
      </c>
      <c r="C12" s="9" t="s">
        <v>13</v>
      </c>
      <c r="D12" s="9">
        <v>2</v>
      </c>
      <c r="E12" s="9" t="s">
        <v>14</v>
      </c>
      <c r="F12" s="9">
        <v>1</v>
      </c>
      <c r="G12" s="9" t="s">
        <v>14</v>
      </c>
      <c r="H12" s="9" t="s">
        <v>14</v>
      </c>
      <c r="I12" s="9" t="s">
        <v>14</v>
      </c>
      <c r="J12" s="9">
        <v>3</v>
      </c>
      <c r="K12" s="9">
        <v>3</v>
      </c>
      <c r="L12" s="9" t="s">
        <v>14</v>
      </c>
      <c r="M12" s="9" t="s">
        <v>13</v>
      </c>
      <c r="N12" s="9">
        <v>1</v>
      </c>
    </row>
    <row r="13" spans="1:14" s="2" customFormat="1" x14ac:dyDescent="0.25">
      <c r="A13" s="9">
        <v>12</v>
      </c>
      <c r="B13" s="9">
        <v>2</v>
      </c>
      <c r="C13" s="9" t="s">
        <v>12</v>
      </c>
      <c r="D13" s="9">
        <v>2</v>
      </c>
      <c r="E13" s="9" t="s">
        <v>12</v>
      </c>
      <c r="F13" s="9">
        <v>2</v>
      </c>
      <c r="G13" s="9" t="s">
        <v>13</v>
      </c>
      <c r="H13" s="9" t="s">
        <v>14</v>
      </c>
      <c r="I13" s="9" t="s">
        <v>14</v>
      </c>
      <c r="J13" s="9">
        <v>3</v>
      </c>
      <c r="K13" s="9">
        <v>2</v>
      </c>
      <c r="L13" s="9" t="s">
        <v>13</v>
      </c>
      <c r="M13" s="9" t="s">
        <v>12</v>
      </c>
      <c r="N13" s="9">
        <v>1</v>
      </c>
    </row>
    <row r="14" spans="1:14" s="2" customFormat="1" x14ac:dyDescent="0.25">
      <c r="A14" s="9">
        <v>13</v>
      </c>
      <c r="B14" s="9">
        <v>2</v>
      </c>
      <c r="C14" s="9" t="s">
        <v>14</v>
      </c>
      <c r="D14" s="9">
        <v>1</v>
      </c>
      <c r="E14" s="9" t="s">
        <v>13</v>
      </c>
      <c r="F14" s="9">
        <v>3</v>
      </c>
      <c r="G14" s="9" t="s">
        <v>14</v>
      </c>
      <c r="H14" s="9" t="s">
        <v>12</v>
      </c>
      <c r="I14" s="9" t="s">
        <v>12</v>
      </c>
      <c r="J14" s="9">
        <v>2</v>
      </c>
      <c r="K14" s="9">
        <v>2</v>
      </c>
      <c r="L14" s="9" t="s">
        <v>13</v>
      </c>
      <c r="M14" s="9" t="s">
        <v>12</v>
      </c>
      <c r="N14" s="9">
        <v>2</v>
      </c>
    </row>
    <row r="15" spans="1:14" s="2" customFormat="1" x14ac:dyDescent="0.25">
      <c r="A15" s="9">
        <v>14</v>
      </c>
      <c r="B15" s="9">
        <v>2</v>
      </c>
      <c r="C15" s="9" t="s">
        <v>14</v>
      </c>
      <c r="D15" s="9">
        <v>2</v>
      </c>
      <c r="E15" s="9" t="s">
        <v>13</v>
      </c>
      <c r="F15" s="9">
        <v>2</v>
      </c>
      <c r="G15" s="9" t="s">
        <v>12</v>
      </c>
      <c r="H15" s="9" t="s">
        <v>12</v>
      </c>
      <c r="I15" s="9" t="s">
        <v>12</v>
      </c>
      <c r="J15" s="9">
        <v>1</v>
      </c>
      <c r="K15" s="9">
        <v>3</v>
      </c>
      <c r="L15" s="9" t="s">
        <v>12</v>
      </c>
      <c r="M15" s="9">
        <v>2</v>
      </c>
      <c r="N15" s="9">
        <v>1</v>
      </c>
    </row>
    <row r="16" spans="1:14" s="2" customFormat="1" x14ac:dyDescent="0.25">
      <c r="A16" s="9">
        <v>15</v>
      </c>
      <c r="B16" s="9">
        <v>2</v>
      </c>
      <c r="C16" s="9" t="s">
        <v>14</v>
      </c>
      <c r="D16" s="9">
        <v>2</v>
      </c>
      <c r="E16" s="9" t="s">
        <v>14</v>
      </c>
      <c r="F16" s="9">
        <v>3</v>
      </c>
      <c r="G16" s="9" t="s">
        <v>13</v>
      </c>
      <c r="H16" s="9" t="s">
        <v>13</v>
      </c>
      <c r="I16" s="9" t="s">
        <v>13</v>
      </c>
      <c r="J16" s="9">
        <v>1</v>
      </c>
      <c r="K16" s="9">
        <v>3</v>
      </c>
      <c r="L16" s="9" t="s">
        <v>13</v>
      </c>
      <c r="M16" s="9" t="s">
        <v>12</v>
      </c>
      <c r="N16" s="9">
        <v>3</v>
      </c>
    </row>
    <row r="17" spans="1:14" s="2" customFormat="1" x14ac:dyDescent="0.25">
      <c r="A17" s="9">
        <v>16</v>
      </c>
      <c r="B17" s="9">
        <v>2</v>
      </c>
      <c r="C17" s="9" t="s">
        <v>12</v>
      </c>
      <c r="D17" s="9">
        <v>1</v>
      </c>
      <c r="E17" s="9" t="s">
        <v>12</v>
      </c>
      <c r="F17" s="9">
        <v>3</v>
      </c>
      <c r="G17" s="9" t="s">
        <v>12</v>
      </c>
      <c r="H17" s="9" t="s">
        <v>14</v>
      </c>
      <c r="I17" s="9" t="s">
        <v>14</v>
      </c>
      <c r="J17" s="9">
        <v>3</v>
      </c>
      <c r="K17" s="9">
        <v>1</v>
      </c>
      <c r="L17" s="9" t="s">
        <v>13</v>
      </c>
      <c r="M17" s="9">
        <v>1</v>
      </c>
      <c r="N17" s="9">
        <v>3</v>
      </c>
    </row>
    <row r="18" spans="1:14" s="2" customFormat="1" x14ac:dyDescent="0.25">
      <c r="A18" s="9">
        <v>17</v>
      </c>
      <c r="B18" s="9">
        <v>2</v>
      </c>
      <c r="C18" s="9" t="s">
        <v>14</v>
      </c>
      <c r="D18" s="9">
        <v>3</v>
      </c>
      <c r="E18" s="9" t="s">
        <v>14</v>
      </c>
      <c r="F18" s="9">
        <v>1</v>
      </c>
      <c r="G18" s="9" t="s">
        <v>14</v>
      </c>
      <c r="H18" s="9" t="s">
        <v>13</v>
      </c>
      <c r="I18" s="9" t="s">
        <v>13</v>
      </c>
      <c r="J18" s="9">
        <v>1</v>
      </c>
      <c r="K18" s="9">
        <v>1</v>
      </c>
      <c r="L18" s="9" t="s">
        <v>12</v>
      </c>
      <c r="M18" s="9">
        <v>1</v>
      </c>
      <c r="N18" s="9">
        <v>3</v>
      </c>
    </row>
    <row r="19" spans="1:14" s="2" customFormat="1" x14ac:dyDescent="0.25">
      <c r="A19" s="9">
        <v>18</v>
      </c>
      <c r="B19" s="9">
        <v>2</v>
      </c>
      <c r="C19" s="9" t="s">
        <v>13</v>
      </c>
      <c r="D19" s="9">
        <v>2</v>
      </c>
      <c r="E19" s="9" t="s">
        <v>12</v>
      </c>
      <c r="F19" s="9">
        <v>1</v>
      </c>
      <c r="G19" s="9" t="s">
        <v>14</v>
      </c>
      <c r="H19" s="9" t="s">
        <v>12</v>
      </c>
      <c r="I19" s="9" t="s">
        <v>12</v>
      </c>
      <c r="J19" s="9">
        <v>3</v>
      </c>
      <c r="K19" s="9">
        <v>1</v>
      </c>
      <c r="L19" s="9" t="s">
        <v>14</v>
      </c>
      <c r="M19" s="9" t="s">
        <v>12</v>
      </c>
      <c r="N19" s="9">
        <v>2</v>
      </c>
    </row>
    <row r="20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</sheetData>
  <phoneticPr fontId="2" type="noConversion"/>
  <pageMargins left="0.7" right="0.7" top="0.75" bottom="0.75" header="0.3" footer="0.3"/>
  <ignoredErrors>
    <ignoredError sqref="A1:C1 H1:I1 M1:N1 A2:B2 E1:E19 A3:C19 G6:I19 H3:I3 L9 G4 I4 H5:I5 L11:L19 M19 M16 M14 M13 M12 M11 M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60B5-E71C-4542-8E79-D6B983FE8B95}">
  <dimension ref="B2:H17"/>
  <sheetViews>
    <sheetView workbookViewId="0">
      <selection activeCell="F20" sqref="F20"/>
    </sheetView>
  </sheetViews>
  <sheetFormatPr defaultRowHeight="15.75" x14ac:dyDescent="0.25"/>
  <cols>
    <col min="1" max="1" width="5.25" style="10" bestFit="1" customWidth="1"/>
    <col min="2" max="2" width="14.625" style="10" bestFit="1" customWidth="1"/>
    <col min="3" max="3" width="12.875" style="10" bestFit="1" customWidth="1"/>
    <col min="4" max="4" width="13.375" style="10" bestFit="1" customWidth="1"/>
    <col min="5" max="5" width="9.5" style="10" bestFit="1" customWidth="1"/>
    <col min="6" max="6" width="9.375" style="10" bestFit="1" customWidth="1"/>
    <col min="7" max="7" width="12.25" style="10" customWidth="1"/>
    <col min="8" max="8" width="15.125" style="10" bestFit="1" customWidth="1"/>
    <col min="9" max="9" width="12.5" style="10" bestFit="1" customWidth="1"/>
    <col min="10" max="10" width="8.625" style="10" bestFit="1" customWidth="1"/>
    <col min="11" max="11" width="9.5" style="10" bestFit="1" customWidth="1"/>
    <col min="12" max="12" width="9.375" style="10" bestFit="1" customWidth="1"/>
    <col min="13" max="13" width="14.625" style="10" bestFit="1" customWidth="1"/>
    <col min="14" max="16384" width="9" style="10"/>
  </cols>
  <sheetData>
    <row r="2" spans="2:8" ht="16.5" thickBot="1" x14ac:dyDescent="0.3"/>
    <row r="3" spans="2:8" x14ac:dyDescent="0.25">
      <c r="B3" s="12"/>
      <c r="C3" s="12" t="s">
        <v>2</v>
      </c>
      <c r="D3" s="12" t="s">
        <v>49</v>
      </c>
      <c r="E3" s="12" t="s">
        <v>3</v>
      </c>
      <c r="F3" s="12" t="s">
        <v>4</v>
      </c>
      <c r="G3" s="12" t="s">
        <v>5</v>
      </c>
      <c r="H3" s="12" t="s">
        <v>6</v>
      </c>
    </row>
    <row r="4" spans="2:8" x14ac:dyDescent="0.25">
      <c r="B4" t="s">
        <v>2</v>
      </c>
      <c r="C4">
        <v>1</v>
      </c>
      <c r="D4"/>
      <c r="E4"/>
      <c r="F4"/>
      <c r="G4"/>
      <c r="H4"/>
    </row>
    <row r="5" spans="2:8" x14ac:dyDescent="0.25">
      <c r="B5" t="s">
        <v>49</v>
      </c>
      <c r="C5" s="4">
        <v>-0.35849056603773599</v>
      </c>
      <c r="D5">
        <v>1</v>
      </c>
      <c r="E5"/>
      <c r="F5"/>
      <c r="G5"/>
      <c r="H5"/>
    </row>
    <row r="6" spans="2:8" x14ac:dyDescent="0.25">
      <c r="B6" t="s">
        <v>3</v>
      </c>
      <c r="C6">
        <v>0</v>
      </c>
      <c r="D6">
        <v>-0.1682316462276133</v>
      </c>
      <c r="E6">
        <v>1</v>
      </c>
      <c r="F6"/>
      <c r="G6"/>
      <c r="H6"/>
    </row>
    <row r="7" spans="2:8" x14ac:dyDescent="0.25">
      <c r="B7" t="s">
        <v>4</v>
      </c>
      <c r="C7">
        <v>0.27358490566037735</v>
      </c>
      <c r="D7">
        <v>1.8867924528301827E-2</v>
      </c>
      <c r="E7">
        <v>-0.16823164622761327</v>
      </c>
      <c r="F7">
        <v>1</v>
      </c>
      <c r="G7"/>
      <c r="H7"/>
    </row>
    <row r="8" spans="2:8" x14ac:dyDescent="0.25">
      <c r="B8" t="s">
        <v>5</v>
      </c>
      <c r="C8">
        <v>0.18594416435437433</v>
      </c>
      <c r="D8">
        <v>-7.8292279728157693E-2</v>
      </c>
      <c r="E8">
        <v>8.7259459074472495E-2</v>
      </c>
      <c r="F8">
        <v>-9.7865349660196596E-3</v>
      </c>
      <c r="G8">
        <v>1</v>
      </c>
      <c r="H8"/>
    </row>
    <row r="9" spans="2:8" ht="16.5" thickBot="1" x14ac:dyDescent="0.3">
      <c r="B9" s="11" t="s">
        <v>6</v>
      </c>
      <c r="C9" s="11">
        <v>-0.10377358490566037</v>
      </c>
      <c r="D9" s="11">
        <v>-1.8867924528301827E-2</v>
      </c>
      <c r="E9" s="11">
        <v>-8.4115823113806637E-2</v>
      </c>
      <c r="F9" s="11">
        <v>1.8867924528301841E-2</v>
      </c>
      <c r="G9" s="11">
        <v>9.7865349660196971E-2</v>
      </c>
      <c r="H9" s="11">
        <v>1</v>
      </c>
    </row>
    <row r="10" spans="2:8" ht="16.5" thickBot="1" x14ac:dyDescent="0.3"/>
    <row r="11" spans="2:8" x14ac:dyDescent="0.25">
      <c r="B11" s="12"/>
      <c r="C11" s="12" t="s">
        <v>7</v>
      </c>
      <c r="D11" s="12" t="s">
        <v>50</v>
      </c>
      <c r="E11" s="12" t="s">
        <v>8</v>
      </c>
      <c r="F11" s="12" t="s">
        <v>9</v>
      </c>
      <c r="G11" s="12" t="s">
        <v>10</v>
      </c>
      <c r="H11" s="12" t="s">
        <v>11</v>
      </c>
    </row>
    <row r="12" spans="2:8" x14ac:dyDescent="0.25">
      <c r="B12" t="s">
        <v>7</v>
      </c>
      <c r="C12">
        <v>1</v>
      </c>
      <c r="D12"/>
      <c r="E12"/>
      <c r="F12"/>
      <c r="G12"/>
      <c r="H12"/>
    </row>
    <row r="13" spans="2:8" x14ac:dyDescent="0.25">
      <c r="B13" t="s">
        <v>50</v>
      </c>
      <c r="C13">
        <v>0.16823164622761327</v>
      </c>
      <c r="D13">
        <v>1</v>
      </c>
      <c r="E13"/>
      <c r="F13"/>
      <c r="G13"/>
      <c r="H13"/>
    </row>
    <row r="14" spans="2:8" x14ac:dyDescent="0.25">
      <c r="B14" t="s">
        <v>8</v>
      </c>
      <c r="C14">
        <v>-0.16823164622761327</v>
      </c>
      <c r="D14">
        <v>0</v>
      </c>
      <c r="E14">
        <v>1</v>
      </c>
      <c r="F14"/>
      <c r="G14"/>
      <c r="H14"/>
    </row>
    <row r="15" spans="2:8" x14ac:dyDescent="0.25">
      <c r="B15" t="s">
        <v>9</v>
      </c>
      <c r="C15">
        <v>1.8867924528301844E-2</v>
      </c>
      <c r="D15">
        <v>-0.25234746934141988</v>
      </c>
      <c r="E15">
        <v>0.16823164622761327</v>
      </c>
      <c r="F15">
        <v>1</v>
      </c>
      <c r="G15"/>
      <c r="H15"/>
    </row>
    <row r="16" spans="2:8" x14ac:dyDescent="0.25">
      <c r="B16" t="s">
        <v>10</v>
      </c>
      <c r="C16" s="4">
        <v>0.42057911556903321</v>
      </c>
      <c r="D16">
        <v>0</v>
      </c>
      <c r="E16">
        <v>0</v>
      </c>
      <c r="F16">
        <v>-0.25234746934141988</v>
      </c>
      <c r="G16">
        <v>1</v>
      </c>
      <c r="H16"/>
    </row>
    <row r="17" spans="2:8" ht="16.5" thickBot="1" x14ac:dyDescent="0.3">
      <c r="B17" s="11" t="s">
        <v>11</v>
      </c>
      <c r="C17" s="11">
        <v>-1.8867924528301827E-2</v>
      </c>
      <c r="D17" s="11">
        <v>0</v>
      </c>
      <c r="E17" s="11">
        <v>-8.4115823113806637E-2</v>
      </c>
      <c r="F17" s="11">
        <v>0.10377358490566033</v>
      </c>
      <c r="G17" s="11">
        <v>0.16823164622761327</v>
      </c>
      <c r="H17" s="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9641-EBBE-418E-8C79-1B1C2CE9EBF1}">
  <dimension ref="A1:W40"/>
  <sheetViews>
    <sheetView workbookViewId="0">
      <selection activeCell="D2" sqref="D2"/>
    </sheetView>
  </sheetViews>
  <sheetFormatPr defaultColWidth="8.875" defaultRowHeight="15.75" x14ac:dyDescent="0.25"/>
  <cols>
    <col min="1" max="1" width="11.875" bestFit="1" customWidth="1"/>
    <col min="2" max="2" width="14.125" bestFit="1" customWidth="1"/>
    <col min="3" max="3" width="7.5" bestFit="1" customWidth="1"/>
    <col min="4" max="4" width="12.125" bestFit="1" customWidth="1"/>
    <col min="5" max="5" width="12.5" bestFit="1" customWidth="1"/>
    <col min="6" max="6" width="8.625" bestFit="1" customWidth="1"/>
    <col min="7" max="8" width="9.375" bestFit="1" customWidth="1"/>
    <col min="9" max="9" width="14.375" bestFit="1" customWidth="1"/>
    <col min="10" max="10" width="12" bestFit="1" customWidth="1"/>
    <col min="11" max="11" width="12.5" bestFit="1" customWidth="1"/>
    <col min="12" max="12" width="8.625" bestFit="1" customWidth="1"/>
    <col min="13" max="14" width="9.375" bestFit="1" customWidth="1"/>
    <col min="15" max="15" width="14.375" bestFit="1" customWidth="1"/>
    <col min="16" max="16" width="6" customWidth="1"/>
    <col min="23" max="23" width="11.875" bestFit="1" customWidth="1"/>
  </cols>
  <sheetData>
    <row r="1" spans="2:23" x14ac:dyDescent="0.25">
      <c r="B1" s="1" t="s">
        <v>17</v>
      </c>
      <c r="Q1" s="1" t="s">
        <v>18</v>
      </c>
    </row>
    <row r="2" spans="2:23" x14ac:dyDescent="0.25">
      <c r="B2" s="8" t="s">
        <v>0</v>
      </c>
      <c r="C2" s="8" t="s">
        <v>1</v>
      </c>
      <c r="D2" s="8" t="s">
        <v>2</v>
      </c>
      <c r="E2" s="9" t="s">
        <v>49</v>
      </c>
      <c r="F2" s="8" t="s">
        <v>3</v>
      </c>
      <c r="G2" s="9" t="s">
        <v>4</v>
      </c>
      <c r="H2" s="9" t="s">
        <v>5</v>
      </c>
      <c r="I2" s="8" t="s">
        <v>6</v>
      </c>
      <c r="J2" s="8" t="s">
        <v>7</v>
      </c>
      <c r="K2" s="9" t="s">
        <v>50</v>
      </c>
      <c r="L2" s="8" t="s">
        <v>8</v>
      </c>
      <c r="M2" s="9" t="s">
        <v>9</v>
      </c>
      <c r="N2" s="8" t="s">
        <v>10</v>
      </c>
      <c r="O2" s="8" t="s">
        <v>11</v>
      </c>
      <c r="P2" s="8"/>
      <c r="Q2" s="2" t="s">
        <v>19</v>
      </c>
      <c r="R2" s="2" t="s">
        <v>51</v>
      </c>
      <c r="S2" s="2" t="s">
        <v>20</v>
      </c>
      <c r="T2" s="2" t="s">
        <v>21</v>
      </c>
      <c r="U2" s="2" t="s">
        <v>22</v>
      </c>
      <c r="V2" s="2" t="s">
        <v>23</v>
      </c>
      <c r="W2" s="3" t="s">
        <v>24</v>
      </c>
    </row>
    <row r="3" spans="2:23" x14ac:dyDescent="0.25">
      <c r="B3" s="8">
        <v>1</v>
      </c>
      <c r="C3" s="8">
        <v>1</v>
      </c>
      <c r="D3" s="8">
        <v>1</v>
      </c>
      <c r="E3" s="8">
        <v>1</v>
      </c>
      <c r="F3" s="8" t="s">
        <v>12</v>
      </c>
      <c r="G3" s="8">
        <v>3</v>
      </c>
      <c r="H3" s="8">
        <v>2</v>
      </c>
      <c r="I3" s="8">
        <v>1</v>
      </c>
      <c r="J3" s="8">
        <v>3</v>
      </c>
      <c r="K3" s="8">
        <v>2</v>
      </c>
      <c r="L3" s="8">
        <v>1</v>
      </c>
      <c r="M3" s="8">
        <v>1</v>
      </c>
      <c r="N3" s="8">
        <v>3</v>
      </c>
      <c r="O3" s="8">
        <v>3</v>
      </c>
      <c r="P3" s="8"/>
      <c r="Q3">
        <f t="shared" ref="Q3:Q18" si="0">D3-J3</f>
        <v>-2</v>
      </c>
      <c r="R3">
        <f t="shared" ref="R3:R18" si="1">E3-K3</f>
        <v>-1</v>
      </c>
      <c r="S3">
        <f t="shared" ref="S3:S18" si="2">F3-L3</f>
        <v>2</v>
      </c>
      <c r="T3">
        <f t="shared" ref="T3:T18" si="3">G3-M3</f>
        <v>2</v>
      </c>
      <c r="U3">
        <f t="shared" ref="U3:U18" si="4">H3-N3</f>
        <v>-1</v>
      </c>
      <c r="V3">
        <f t="shared" ref="V3:V18" si="5">I3-O3</f>
        <v>-2</v>
      </c>
      <c r="W3" s="4">
        <f>COUNTIF(Q3:V3,0)</f>
        <v>0</v>
      </c>
    </row>
    <row r="4" spans="2:23" x14ac:dyDescent="0.25">
      <c r="B4" s="8">
        <v>2</v>
      </c>
      <c r="C4" s="8">
        <v>1</v>
      </c>
      <c r="D4" s="8" t="s">
        <v>14</v>
      </c>
      <c r="E4" s="8">
        <v>3</v>
      </c>
      <c r="F4" s="8" t="s">
        <v>13</v>
      </c>
      <c r="G4" s="8">
        <v>3</v>
      </c>
      <c r="H4" s="8">
        <v>2</v>
      </c>
      <c r="I4" s="8" t="s">
        <v>14</v>
      </c>
      <c r="J4" s="8" t="s">
        <v>13</v>
      </c>
      <c r="K4" s="8">
        <v>2</v>
      </c>
      <c r="L4" s="8">
        <v>2</v>
      </c>
      <c r="M4" s="8">
        <v>2</v>
      </c>
      <c r="N4" s="8">
        <v>1</v>
      </c>
      <c r="O4" s="8">
        <v>1</v>
      </c>
      <c r="P4" s="8"/>
      <c r="Q4">
        <f t="shared" si="0"/>
        <v>1</v>
      </c>
      <c r="R4">
        <f t="shared" si="1"/>
        <v>1</v>
      </c>
      <c r="S4">
        <f t="shared" si="2"/>
        <v>-1</v>
      </c>
      <c r="T4">
        <f t="shared" si="3"/>
        <v>1</v>
      </c>
      <c r="U4">
        <f t="shared" si="4"/>
        <v>1</v>
      </c>
      <c r="V4">
        <f t="shared" si="5"/>
        <v>1</v>
      </c>
      <c r="W4" s="4">
        <f t="shared" ref="W4:W20" si="6">COUNTIF(Q4:V4,0)</f>
        <v>0</v>
      </c>
    </row>
    <row r="5" spans="2:23" x14ac:dyDescent="0.25">
      <c r="B5" s="8">
        <v>3</v>
      </c>
      <c r="C5" s="8">
        <v>1</v>
      </c>
      <c r="D5" s="8" t="s">
        <v>12</v>
      </c>
      <c r="E5" s="8">
        <v>1</v>
      </c>
      <c r="F5" s="8" t="s">
        <v>14</v>
      </c>
      <c r="G5" s="8">
        <v>2</v>
      </c>
      <c r="H5" s="8" t="s">
        <v>12</v>
      </c>
      <c r="I5" s="8">
        <v>3</v>
      </c>
      <c r="J5" s="8" t="s">
        <v>13</v>
      </c>
      <c r="K5" s="8">
        <v>3</v>
      </c>
      <c r="L5" s="8">
        <v>3</v>
      </c>
      <c r="M5" s="8">
        <v>1</v>
      </c>
      <c r="N5" s="8">
        <v>1</v>
      </c>
      <c r="O5" s="8">
        <v>2</v>
      </c>
      <c r="P5" s="8"/>
      <c r="Q5">
        <f t="shared" si="0"/>
        <v>2</v>
      </c>
      <c r="R5">
        <f t="shared" si="1"/>
        <v>-2</v>
      </c>
      <c r="S5">
        <f t="shared" si="2"/>
        <v>-1</v>
      </c>
      <c r="T5">
        <f t="shared" si="3"/>
        <v>1</v>
      </c>
      <c r="U5">
        <f t="shared" si="4"/>
        <v>2</v>
      </c>
      <c r="V5">
        <f t="shared" si="5"/>
        <v>1</v>
      </c>
      <c r="W5" s="4">
        <f t="shared" si="6"/>
        <v>0</v>
      </c>
    </row>
    <row r="6" spans="2:23" x14ac:dyDescent="0.25">
      <c r="B6" s="8">
        <v>4</v>
      </c>
      <c r="C6" s="8">
        <v>1</v>
      </c>
      <c r="D6" s="8" t="s">
        <v>13</v>
      </c>
      <c r="E6" s="8">
        <v>1</v>
      </c>
      <c r="F6" s="8" t="s">
        <v>13</v>
      </c>
      <c r="G6" s="8">
        <v>1</v>
      </c>
      <c r="H6" s="8">
        <v>1</v>
      </c>
      <c r="I6" s="8" t="s">
        <v>14</v>
      </c>
      <c r="J6" s="8" t="s">
        <v>12</v>
      </c>
      <c r="K6" s="8">
        <v>2</v>
      </c>
      <c r="L6" s="8">
        <v>3</v>
      </c>
      <c r="M6" s="8">
        <v>2</v>
      </c>
      <c r="N6" s="8">
        <v>2</v>
      </c>
      <c r="O6" s="8">
        <v>3</v>
      </c>
      <c r="P6" s="8"/>
      <c r="Q6">
        <f t="shared" si="0"/>
        <v>-2</v>
      </c>
      <c r="R6">
        <f t="shared" si="1"/>
        <v>-1</v>
      </c>
      <c r="S6">
        <f t="shared" si="2"/>
        <v>-2</v>
      </c>
      <c r="T6">
        <f t="shared" si="3"/>
        <v>-1</v>
      </c>
      <c r="U6">
        <f t="shared" si="4"/>
        <v>-1</v>
      </c>
      <c r="V6">
        <f t="shared" si="5"/>
        <v>-1</v>
      </c>
      <c r="W6" s="4">
        <f t="shared" si="6"/>
        <v>0</v>
      </c>
    </row>
    <row r="7" spans="2:23" x14ac:dyDescent="0.25">
      <c r="B7" s="8">
        <v>5</v>
      </c>
      <c r="C7" s="8">
        <v>1</v>
      </c>
      <c r="D7" s="8" t="s">
        <v>13</v>
      </c>
      <c r="E7" s="8">
        <v>3</v>
      </c>
      <c r="F7" s="8" t="s">
        <v>12</v>
      </c>
      <c r="G7" s="8">
        <v>2</v>
      </c>
      <c r="H7" s="8" t="s">
        <v>12</v>
      </c>
      <c r="I7" s="8" t="s">
        <v>14</v>
      </c>
      <c r="J7" s="8" t="s">
        <v>12</v>
      </c>
      <c r="K7" s="8">
        <v>1</v>
      </c>
      <c r="L7" s="8">
        <v>1</v>
      </c>
      <c r="M7" s="8">
        <v>1</v>
      </c>
      <c r="N7" s="8">
        <v>2</v>
      </c>
      <c r="O7" s="8">
        <v>1</v>
      </c>
      <c r="P7" s="8"/>
      <c r="Q7">
        <f t="shared" si="0"/>
        <v>-2</v>
      </c>
      <c r="R7">
        <f t="shared" si="1"/>
        <v>2</v>
      </c>
      <c r="S7">
        <f t="shared" si="2"/>
        <v>2</v>
      </c>
      <c r="T7">
        <f t="shared" si="3"/>
        <v>1</v>
      </c>
      <c r="U7">
        <f t="shared" si="4"/>
        <v>1</v>
      </c>
      <c r="V7">
        <f t="shared" si="5"/>
        <v>1</v>
      </c>
      <c r="W7" s="4">
        <f t="shared" si="6"/>
        <v>0</v>
      </c>
    </row>
    <row r="8" spans="2:23" x14ac:dyDescent="0.25">
      <c r="B8" s="9">
        <v>6</v>
      </c>
      <c r="C8" s="9">
        <v>1</v>
      </c>
      <c r="D8" s="9" t="s">
        <v>12</v>
      </c>
      <c r="E8" s="9">
        <v>2</v>
      </c>
      <c r="F8" s="9" t="s">
        <v>13</v>
      </c>
      <c r="G8" s="9">
        <v>3</v>
      </c>
      <c r="H8" s="9" t="s">
        <v>12</v>
      </c>
      <c r="I8" s="9" t="s">
        <v>13</v>
      </c>
      <c r="J8" s="9" t="s">
        <v>13</v>
      </c>
      <c r="K8" s="9">
        <v>1</v>
      </c>
      <c r="L8" s="9">
        <v>2</v>
      </c>
      <c r="M8" s="9">
        <v>2</v>
      </c>
      <c r="N8" s="9">
        <v>2</v>
      </c>
      <c r="O8" s="9">
        <v>2</v>
      </c>
      <c r="P8" s="9"/>
      <c r="Q8">
        <f t="shared" si="0"/>
        <v>2</v>
      </c>
      <c r="R8">
        <f t="shared" si="1"/>
        <v>1</v>
      </c>
      <c r="S8">
        <f t="shared" si="2"/>
        <v>-1</v>
      </c>
      <c r="T8">
        <f t="shared" si="3"/>
        <v>1</v>
      </c>
      <c r="U8">
        <f t="shared" si="4"/>
        <v>1</v>
      </c>
      <c r="V8">
        <f t="shared" si="5"/>
        <v>-1</v>
      </c>
      <c r="W8" s="4">
        <f t="shared" si="6"/>
        <v>0</v>
      </c>
    </row>
    <row r="9" spans="2:23" x14ac:dyDescent="0.25">
      <c r="B9" s="9">
        <v>7</v>
      </c>
      <c r="C9" s="9">
        <v>1</v>
      </c>
      <c r="D9" s="9" t="s">
        <v>12</v>
      </c>
      <c r="E9" s="9">
        <v>1</v>
      </c>
      <c r="F9" s="9" t="s">
        <v>14</v>
      </c>
      <c r="G9" s="9">
        <v>2</v>
      </c>
      <c r="H9" s="9" t="s">
        <v>13</v>
      </c>
      <c r="I9" s="9" t="s">
        <v>13</v>
      </c>
      <c r="J9" s="9" t="s">
        <v>14</v>
      </c>
      <c r="K9" s="9">
        <v>2</v>
      </c>
      <c r="L9" s="9">
        <v>3</v>
      </c>
      <c r="M9" s="9">
        <v>3</v>
      </c>
      <c r="N9" s="9">
        <v>3</v>
      </c>
      <c r="O9" s="9">
        <v>3</v>
      </c>
      <c r="P9" s="9"/>
      <c r="Q9">
        <f t="shared" si="0"/>
        <v>1</v>
      </c>
      <c r="R9">
        <f t="shared" si="1"/>
        <v>-1</v>
      </c>
      <c r="S9">
        <f t="shared" si="2"/>
        <v>-1</v>
      </c>
      <c r="T9">
        <f t="shared" si="3"/>
        <v>-1</v>
      </c>
      <c r="U9">
        <f t="shared" si="4"/>
        <v>-2</v>
      </c>
      <c r="V9">
        <f t="shared" si="5"/>
        <v>-2</v>
      </c>
      <c r="W9" s="4">
        <f t="shared" si="6"/>
        <v>0</v>
      </c>
    </row>
    <row r="10" spans="2:23" x14ac:dyDescent="0.25">
      <c r="B10" s="9">
        <v>8</v>
      </c>
      <c r="C10" s="9">
        <v>1</v>
      </c>
      <c r="D10" s="9" t="s">
        <v>14</v>
      </c>
      <c r="E10" s="9">
        <v>1</v>
      </c>
      <c r="F10" s="9" t="s">
        <v>12</v>
      </c>
      <c r="G10" s="9">
        <v>1</v>
      </c>
      <c r="H10" s="9" t="s">
        <v>12</v>
      </c>
      <c r="I10" s="9" t="s">
        <v>13</v>
      </c>
      <c r="J10" s="9" t="s">
        <v>12</v>
      </c>
      <c r="K10" s="9">
        <v>3</v>
      </c>
      <c r="L10" s="9">
        <v>2</v>
      </c>
      <c r="M10" s="9" t="s">
        <v>12</v>
      </c>
      <c r="N10" s="9">
        <v>2</v>
      </c>
      <c r="O10" s="9">
        <v>3</v>
      </c>
      <c r="P10" s="9"/>
      <c r="Q10">
        <f t="shared" si="0"/>
        <v>-1</v>
      </c>
      <c r="R10">
        <f t="shared" si="1"/>
        <v>-2</v>
      </c>
      <c r="S10">
        <f t="shared" si="2"/>
        <v>1</v>
      </c>
      <c r="T10">
        <f t="shared" si="3"/>
        <v>-2</v>
      </c>
      <c r="U10">
        <f t="shared" si="4"/>
        <v>1</v>
      </c>
      <c r="V10">
        <f t="shared" si="5"/>
        <v>-2</v>
      </c>
      <c r="W10" s="4">
        <f t="shared" si="6"/>
        <v>0</v>
      </c>
    </row>
    <row r="11" spans="2:23" x14ac:dyDescent="0.25">
      <c r="B11" s="9">
        <v>9</v>
      </c>
      <c r="C11" s="9">
        <v>1</v>
      </c>
      <c r="D11" s="9" t="s">
        <v>13</v>
      </c>
      <c r="E11" s="9">
        <v>3</v>
      </c>
      <c r="F11" s="9" t="s">
        <v>14</v>
      </c>
      <c r="G11" s="9">
        <v>3</v>
      </c>
      <c r="H11" s="9" t="s">
        <v>13</v>
      </c>
      <c r="I11" s="9" t="s">
        <v>12</v>
      </c>
      <c r="J11" s="9" t="s">
        <v>14</v>
      </c>
      <c r="K11" s="9">
        <v>2</v>
      </c>
      <c r="L11" s="9">
        <v>1</v>
      </c>
      <c r="M11" s="9">
        <v>2</v>
      </c>
      <c r="N11" s="9" t="s">
        <v>14</v>
      </c>
      <c r="O11" s="9">
        <v>2</v>
      </c>
      <c r="P11" s="9"/>
      <c r="Q11">
        <f t="shared" si="0"/>
        <v>-1</v>
      </c>
      <c r="R11">
        <f t="shared" si="1"/>
        <v>1</v>
      </c>
      <c r="S11">
        <f t="shared" si="2"/>
        <v>1</v>
      </c>
      <c r="T11">
        <f t="shared" si="3"/>
        <v>1</v>
      </c>
      <c r="U11">
        <f t="shared" si="4"/>
        <v>-1</v>
      </c>
      <c r="V11">
        <f t="shared" si="5"/>
        <v>1</v>
      </c>
      <c r="W11" s="4">
        <f t="shared" si="6"/>
        <v>0</v>
      </c>
    </row>
    <row r="12" spans="2:23" x14ac:dyDescent="0.25">
      <c r="B12" s="9">
        <v>10</v>
      </c>
      <c r="C12" s="9">
        <v>2</v>
      </c>
      <c r="D12" s="9" t="s">
        <v>13</v>
      </c>
      <c r="E12" s="9">
        <v>3</v>
      </c>
      <c r="F12" s="9" t="s">
        <v>13</v>
      </c>
      <c r="G12" s="9">
        <v>2</v>
      </c>
      <c r="H12" s="9" t="s">
        <v>14</v>
      </c>
      <c r="I12" s="9" t="s">
        <v>13</v>
      </c>
      <c r="J12" s="9" t="s">
        <v>14</v>
      </c>
      <c r="K12" s="9">
        <v>1</v>
      </c>
      <c r="L12" s="9">
        <v>2</v>
      </c>
      <c r="M12" s="9" t="s">
        <v>12</v>
      </c>
      <c r="N12" s="9" t="s">
        <v>13</v>
      </c>
      <c r="O12" s="9">
        <v>2</v>
      </c>
      <c r="P12" s="9"/>
      <c r="Q12">
        <f t="shared" si="0"/>
        <v>-1</v>
      </c>
      <c r="R12">
        <f t="shared" si="1"/>
        <v>2</v>
      </c>
      <c r="S12">
        <f t="shared" si="2"/>
        <v>-1</v>
      </c>
      <c r="T12">
        <f t="shared" si="3"/>
        <v>-1</v>
      </c>
      <c r="U12">
        <f t="shared" si="4"/>
        <v>1</v>
      </c>
      <c r="V12">
        <f t="shared" si="5"/>
        <v>-1</v>
      </c>
      <c r="W12" s="4">
        <f t="shared" si="6"/>
        <v>0</v>
      </c>
    </row>
    <row r="13" spans="2:23" x14ac:dyDescent="0.25">
      <c r="B13" s="9">
        <v>11</v>
      </c>
      <c r="C13" s="9">
        <v>2</v>
      </c>
      <c r="D13" s="9" t="s">
        <v>13</v>
      </c>
      <c r="E13" s="9">
        <v>2</v>
      </c>
      <c r="F13" s="9" t="s">
        <v>14</v>
      </c>
      <c r="G13" s="9">
        <v>1</v>
      </c>
      <c r="H13" s="9" t="s">
        <v>14</v>
      </c>
      <c r="I13" s="9" t="s">
        <v>14</v>
      </c>
      <c r="J13" s="9" t="s">
        <v>14</v>
      </c>
      <c r="K13" s="9">
        <v>3</v>
      </c>
      <c r="L13" s="9">
        <v>3</v>
      </c>
      <c r="M13" s="9" t="s">
        <v>14</v>
      </c>
      <c r="N13" s="9" t="s">
        <v>13</v>
      </c>
      <c r="O13" s="9">
        <v>1</v>
      </c>
      <c r="P13" s="9"/>
      <c r="Q13">
        <f t="shared" si="0"/>
        <v>-1</v>
      </c>
      <c r="R13">
        <f t="shared" si="1"/>
        <v>-1</v>
      </c>
      <c r="S13">
        <f t="shared" si="2"/>
        <v>-1</v>
      </c>
      <c r="T13">
        <f t="shared" si="3"/>
        <v>-1</v>
      </c>
      <c r="U13">
        <f t="shared" si="4"/>
        <v>1</v>
      </c>
      <c r="V13">
        <f t="shared" si="5"/>
        <v>1</v>
      </c>
      <c r="W13" s="4">
        <f t="shared" si="6"/>
        <v>0</v>
      </c>
    </row>
    <row r="14" spans="2:23" x14ac:dyDescent="0.25">
      <c r="B14" s="9">
        <v>12</v>
      </c>
      <c r="C14" s="9">
        <v>2</v>
      </c>
      <c r="D14" s="9" t="s">
        <v>12</v>
      </c>
      <c r="E14" s="9">
        <v>2</v>
      </c>
      <c r="F14" s="9" t="s">
        <v>12</v>
      </c>
      <c r="G14" s="9">
        <v>2</v>
      </c>
      <c r="H14" s="9" t="s">
        <v>13</v>
      </c>
      <c r="I14" s="9" t="s">
        <v>14</v>
      </c>
      <c r="J14" s="9" t="s">
        <v>14</v>
      </c>
      <c r="K14" s="9">
        <v>3</v>
      </c>
      <c r="L14" s="9">
        <v>2</v>
      </c>
      <c r="M14" s="9" t="s">
        <v>13</v>
      </c>
      <c r="N14" s="9" t="s">
        <v>12</v>
      </c>
      <c r="O14" s="9">
        <v>1</v>
      </c>
      <c r="P14" s="9"/>
      <c r="Q14">
        <f t="shared" si="0"/>
        <v>1</v>
      </c>
      <c r="R14">
        <f t="shared" si="1"/>
        <v>-1</v>
      </c>
      <c r="S14">
        <f t="shared" si="2"/>
        <v>1</v>
      </c>
      <c r="T14">
        <f t="shared" si="3"/>
        <v>1</v>
      </c>
      <c r="U14">
        <f t="shared" si="4"/>
        <v>-2</v>
      </c>
      <c r="V14">
        <f t="shared" si="5"/>
        <v>1</v>
      </c>
      <c r="W14" s="4">
        <f t="shared" si="6"/>
        <v>0</v>
      </c>
    </row>
    <row r="15" spans="2:23" x14ac:dyDescent="0.25">
      <c r="B15" s="9">
        <v>13</v>
      </c>
      <c r="C15" s="9">
        <v>2</v>
      </c>
      <c r="D15" s="9" t="s">
        <v>14</v>
      </c>
      <c r="E15" s="9">
        <v>1</v>
      </c>
      <c r="F15" s="9" t="s">
        <v>13</v>
      </c>
      <c r="G15" s="9">
        <v>3</v>
      </c>
      <c r="H15" s="9" t="s">
        <v>14</v>
      </c>
      <c r="I15" s="9" t="s">
        <v>12</v>
      </c>
      <c r="J15" s="9" t="s">
        <v>12</v>
      </c>
      <c r="K15" s="9">
        <v>2</v>
      </c>
      <c r="L15" s="9">
        <v>2</v>
      </c>
      <c r="M15" s="9" t="s">
        <v>13</v>
      </c>
      <c r="N15" s="9" t="s">
        <v>12</v>
      </c>
      <c r="O15" s="9">
        <v>2</v>
      </c>
      <c r="P15" s="9"/>
      <c r="Q15">
        <f t="shared" si="0"/>
        <v>-1</v>
      </c>
      <c r="R15">
        <f t="shared" si="1"/>
        <v>-1</v>
      </c>
      <c r="S15">
        <f t="shared" si="2"/>
        <v>-1</v>
      </c>
      <c r="T15">
        <f t="shared" si="3"/>
        <v>2</v>
      </c>
      <c r="U15">
        <f t="shared" si="4"/>
        <v>-1</v>
      </c>
      <c r="V15">
        <f t="shared" si="5"/>
        <v>1</v>
      </c>
      <c r="W15" s="4">
        <f t="shared" si="6"/>
        <v>0</v>
      </c>
    </row>
    <row r="16" spans="2:23" x14ac:dyDescent="0.25">
      <c r="B16" s="9">
        <v>14</v>
      </c>
      <c r="C16" s="9">
        <v>2</v>
      </c>
      <c r="D16" s="9" t="s">
        <v>14</v>
      </c>
      <c r="E16" s="9">
        <v>2</v>
      </c>
      <c r="F16" s="9" t="s">
        <v>13</v>
      </c>
      <c r="G16" s="9">
        <v>2</v>
      </c>
      <c r="H16" s="9" t="s">
        <v>12</v>
      </c>
      <c r="I16" s="9" t="s">
        <v>12</v>
      </c>
      <c r="J16" s="9" t="s">
        <v>12</v>
      </c>
      <c r="K16" s="9">
        <v>1</v>
      </c>
      <c r="L16" s="9">
        <v>3</v>
      </c>
      <c r="M16" s="9" t="s">
        <v>12</v>
      </c>
      <c r="N16" s="9">
        <v>2</v>
      </c>
      <c r="O16" s="9">
        <v>1</v>
      </c>
      <c r="P16" s="9"/>
      <c r="Q16">
        <f t="shared" si="0"/>
        <v>-1</v>
      </c>
      <c r="R16">
        <f t="shared" si="1"/>
        <v>1</v>
      </c>
      <c r="S16">
        <f t="shared" si="2"/>
        <v>-2</v>
      </c>
      <c r="T16">
        <f t="shared" si="3"/>
        <v>-1</v>
      </c>
      <c r="U16">
        <f t="shared" si="4"/>
        <v>1</v>
      </c>
      <c r="V16">
        <f t="shared" si="5"/>
        <v>2</v>
      </c>
      <c r="W16" s="4">
        <f t="shared" si="6"/>
        <v>0</v>
      </c>
    </row>
    <row r="17" spans="1:23" x14ac:dyDescent="0.25">
      <c r="B17" s="9">
        <v>15</v>
      </c>
      <c r="C17" s="9">
        <v>2</v>
      </c>
      <c r="D17" s="9" t="s">
        <v>14</v>
      </c>
      <c r="E17" s="9">
        <v>2</v>
      </c>
      <c r="F17" s="9" t="s">
        <v>14</v>
      </c>
      <c r="G17" s="9">
        <v>3</v>
      </c>
      <c r="H17" s="9" t="s">
        <v>13</v>
      </c>
      <c r="I17" s="9" t="s">
        <v>13</v>
      </c>
      <c r="J17" s="9" t="s">
        <v>13</v>
      </c>
      <c r="K17" s="9">
        <v>1</v>
      </c>
      <c r="L17" s="9">
        <v>3</v>
      </c>
      <c r="M17" s="9" t="s">
        <v>13</v>
      </c>
      <c r="N17" s="9" t="s">
        <v>12</v>
      </c>
      <c r="O17" s="9">
        <v>3</v>
      </c>
      <c r="P17" s="9"/>
      <c r="Q17">
        <f t="shared" si="0"/>
        <v>1</v>
      </c>
      <c r="R17">
        <f t="shared" si="1"/>
        <v>1</v>
      </c>
      <c r="S17">
        <f t="shared" si="2"/>
        <v>-1</v>
      </c>
      <c r="T17">
        <f t="shared" si="3"/>
        <v>2</v>
      </c>
      <c r="U17">
        <f t="shared" si="4"/>
        <v>-2</v>
      </c>
      <c r="V17">
        <f t="shared" si="5"/>
        <v>-2</v>
      </c>
      <c r="W17" s="4">
        <f t="shared" si="6"/>
        <v>0</v>
      </c>
    </row>
    <row r="18" spans="1:23" x14ac:dyDescent="0.25">
      <c r="B18" s="9">
        <v>16</v>
      </c>
      <c r="C18" s="9">
        <v>2</v>
      </c>
      <c r="D18" s="9" t="s">
        <v>12</v>
      </c>
      <c r="E18" s="9">
        <v>1</v>
      </c>
      <c r="F18" s="9" t="s">
        <v>12</v>
      </c>
      <c r="G18" s="9">
        <v>3</v>
      </c>
      <c r="H18" s="9" t="s">
        <v>12</v>
      </c>
      <c r="I18" s="9" t="s">
        <v>14</v>
      </c>
      <c r="J18" s="9" t="s">
        <v>14</v>
      </c>
      <c r="K18" s="9">
        <v>3</v>
      </c>
      <c r="L18" s="9">
        <v>1</v>
      </c>
      <c r="M18" s="9" t="s">
        <v>13</v>
      </c>
      <c r="N18" s="9">
        <v>1</v>
      </c>
      <c r="O18" s="9">
        <v>3</v>
      </c>
      <c r="P18" s="9"/>
      <c r="Q18">
        <f t="shared" si="0"/>
        <v>1</v>
      </c>
      <c r="R18">
        <f t="shared" si="1"/>
        <v>-2</v>
      </c>
      <c r="S18">
        <f t="shared" si="2"/>
        <v>2</v>
      </c>
      <c r="T18">
        <f t="shared" si="3"/>
        <v>2</v>
      </c>
      <c r="U18">
        <f t="shared" si="4"/>
        <v>2</v>
      </c>
      <c r="V18">
        <f t="shared" si="5"/>
        <v>-1</v>
      </c>
      <c r="W18" s="4">
        <f t="shared" si="6"/>
        <v>0</v>
      </c>
    </row>
    <row r="19" spans="1:23" x14ac:dyDescent="0.25">
      <c r="B19" s="9">
        <v>17</v>
      </c>
      <c r="C19" s="9">
        <v>2</v>
      </c>
      <c r="D19" s="9" t="s">
        <v>14</v>
      </c>
      <c r="E19" s="9">
        <v>3</v>
      </c>
      <c r="F19" s="9" t="s">
        <v>14</v>
      </c>
      <c r="G19" s="9">
        <v>1</v>
      </c>
      <c r="H19" s="9" t="s">
        <v>14</v>
      </c>
      <c r="I19" s="9" t="s">
        <v>13</v>
      </c>
      <c r="J19" s="9" t="s">
        <v>13</v>
      </c>
      <c r="K19" s="9">
        <v>1</v>
      </c>
      <c r="L19" s="9">
        <v>1</v>
      </c>
      <c r="M19" s="9" t="s">
        <v>12</v>
      </c>
      <c r="N19" s="9">
        <v>1</v>
      </c>
      <c r="O19" s="9">
        <v>3</v>
      </c>
      <c r="P19" s="9"/>
      <c r="Q19">
        <f t="shared" ref="Q19:V20" si="7">D19-J19</f>
        <v>1</v>
      </c>
      <c r="R19">
        <f t="shared" si="7"/>
        <v>2</v>
      </c>
      <c r="S19">
        <f t="shared" si="7"/>
        <v>1</v>
      </c>
      <c r="T19">
        <f t="shared" si="7"/>
        <v>-2</v>
      </c>
      <c r="U19">
        <f t="shared" si="7"/>
        <v>1</v>
      </c>
      <c r="V19">
        <f t="shared" si="7"/>
        <v>-2</v>
      </c>
      <c r="W19" s="4">
        <f t="shared" si="6"/>
        <v>0</v>
      </c>
    </row>
    <row r="20" spans="1:23" x14ac:dyDescent="0.25">
      <c r="B20" s="9">
        <v>18</v>
      </c>
      <c r="C20" s="9">
        <v>2</v>
      </c>
      <c r="D20" s="9" t="s">
        <v>13</v>
      </c>
      <c r="E20" s="9">
        <v>2</v>
      </c>
      <c r="F20" s="9" t="s">
        <v>12</v>
      </c>
      <c r="G20" s="9">
        <v>1</v>
      </c>
      <c r="H20" s="9" t="s">
        <v>14</v>
      </c>
      <c r="I20" s="9" t="s">
        <v>12</v>
      </c>
      <c r="J20" s="9" t="s">
        <v>12</v>
      </c>
      <c r="K20" s="9">
        <v>3</v>
      </c>
      <c r="L20" s="9">
        <v>1</v>
      </c>
      <c r="M20" s="9" t="s">
        <v>14</v>
      </c>
      <c r="N20" s="9" t="s">
        <v>12</v>
      </c>
      <c r="O20" s="9">
        <v>2</v>
      </c>
      <c r="P20" s="9"/>
      <c r="Q20">
        <f t="shared" si="7"/>
        <v>-2</v>
      </c>
      <c r="R20">
        <f>E20-K20</f>
        <v>-1</v>
      </c>
      <c r="S20">
        <f t="shared" si="7"/>
        <v>2</v>
      </c>
      <c r="T20">
        <f t="shared" si="7"/>
        <v>-1</v>
      </c>
      <c r="U20">
        <f t="shared" si="7"/>
        <v>-1</v>
      </c>
      <c r="V20">
        <f t="shared" si="7"/>
        <v>1</v>
      </c>
      <c r="W20" s="4">
        <f t="shared" si="6"/>
        <v>0</v>
      </c>
    </row>
    <row r="21" spans="1:23" x14ac:dyDescent="0.25">
      <c r="A21" s="1" t="s">
        <v>25</v>
      </c>
    </row>
    <row r="22" spans="1:23" ht="45" x14ac:dyDescent="0.25">
      <c r="A22" s="5" t="s">
        <v>15</v>
      </c>
      <c r="B22" s="5" t="s">
        <v>26</v>
      </c>
      <c r="C22" s="6" t="s">
        <v>27</v>
      </c>
      <c r="D22" s="6" t="s">
        <v>28</v>
      </c>
      <c r="E22" s="6" t="s">
        <v>29</v>
      </c>
    </row>
    <row r="23" spans="1:23" x14ac:dyDescent="0.25">
      <c r="A23" s="7" t="s">
        <v>19</v>
      </c>
      <c r="B23" s="7">
        <v>1</v>
      </c>
      <c r="C23">
        <f>SUM(COUNTIF($D$3:$D$20,$B$23),COUNTIF($J$3:$J$20,$B23))</f>
        <v>12</v>
      </c>
      <c r="D23">
        <f>SUM(COUNTIF($D$3:$D$11,$B23),COUNTIF($J$3:$J$11,$B23))</f>
        <v>7</v>
      </c>
      <c r="E23">
        <f>SUM(COUNTIF($D$12:$D$20,$B23),COUNTIF($J$12:$J$20,$B23))</f>
        <v>5</v>
      </c>
      <c r="F23">
        <f>SUM(D23:D25)</f>
        <v>18</v>
      </c>
      <c r="G23">
        <f>SUM(E23:E25)</f>
        <v>18</v>
      </c>
    </row>
    <row r="24" spans="1:23" x14ac:dyDescent="0.25">
      <c r="A24" s="7"/>
      <c r="B24" s="7">
        <v>2</v>
      </c>
      <c r="C24">
        <f>SUM(COUNTIF($D$3:$D$20,$B$24),COUNTIF($J$3:$J$20,$B24))</f>
        <v>12</v>
      </c>
      <c r="D24">
        <f>SUM(COUNTIF($D$3:$D$11,$B24),COUNTIF($J$3:$J$11,$B24))</f>
        <v>4</v>
      </c>
      <c r="E24">
        <f>SUM(COUNTIF($D$12:$D$20,$B24),COUNTIF($J$12:$J$20,$B24))</f>
        <v>8</v>
      </c>
      <c r="F24" s="2" t="s">
        <v>16</v>
      </c>
    </row>
    <row r="25" spans="1:23" x14ac:dyDescent="0.25">
      <c r="A25" s="7"/>
      <c r="B25" s="7">
        <v>3</v>
      </c>
      <c r="C25">
        <f>SUM(COUNTIF($D$3:$D$20,$B$25),COUNTIF($J$3:$J$20,$B25))</f>
        <v>12</v>
      </c>
      <c r="D25">
        <f>SUM(COUNTIF($D$3:$D$11,$B25),COUNTIF($J$3:$J$11,$B25))</f>
        <v>7</v>
      </c>
      <c r="E25">
        <f>SUM(COUNTIF($D$12:$D$20,$B25),COUNTIF($J$12:$J$20,$B25))</f>
        <v>5</v>
      </c>
      <c r="F25" s="2"/>
    </row>
    <row r="26" spans="1:23" x14ac:dyDescent="0.25">
      <c r="A26" s="2" t="s">
        <v>51</v>
      </c>
      <c r="B26" s="7">
        <v>1</v>
      </c>
      <c r="C26">
        <f>SUM(COUNTIF($E$3:$E$20,$B26),COUNTIF($K$3:$K$20,$B26))</f>
        <v>13</v>
      </c>
      <c r="D26">
        <f>SUM(COUNTIF($E$3:$E$11,$B26),COUNTIF($K$3:$K$11,$B26))</f>
        <v>7</v>
      </c>
      <c r="E26">
        <f>SUM(COUNTIF($E$12:$E$20,$B26),COUNTIF($K$12:$K$20,$B26))</f>
        <v>6</v>
      </c>
      <c r="F26">
        <f>SUM(D26:D28)</f>
        <v>18</v>
      </c>
      <c r="G26">
        <f>SUM(E26:E28)</f>
        <v>18</v>
      </c>
    </row>
    <row r="27" spans="1:23" x14ac:dyDescent="0.25">
      <c r="A27" s="2"/>
      <c r="B27" s="7">
        <v>2</v>
      </c>
      <c r="C27">
        <f>SUM(COUNTIF($E$3:$E$20,$B27),COUNTIF($K$3:$K$20,$B27))</f>
        <v>12</v>
      </c>
      <c r="D27">
        <f>SUM(COUNTIF($E$3:$E$11,$B27),COUNTIF($K$3:$K$11,$B27))</f>
        <v>6</v>
      </c>
      <c r="E27">
        <f>SUM(COUNTIF($E$12:$E$20,$B27),COUNTIF($K$12:$K$20,$B27))</f>
        <v>6</v>
      </c>
    </row>
    <row r="28" spans="1:23" x14ac:dyDescent="0.25">
      <c r="A28" s="2"/>
      <c r="B28" s="7">
        <v>3</v>
      </c>
      <c r="C28">
        <f>SUM(COUNTIF($E$3:$E$20,$B28),COUNTIF($K$3:$K$20,$B28))</f>
        <v>11</v>
      </c>
      <c r="D28">
        <f>SUM(COUNTIF($E$3:$E$11,$B28),COUNTIF($K$3:$K$11,$B28))</f>
        <v>5</v>
      </c>
      <c r="E28">
        <f>SUM(COUNTIF($E$12:$E$20,$B28),COUNTIF($K$12:$K$20,$B28))</f>
        <v>6</v>
      </c>
    </row>
    <row r="29" spans="1:23" x14ac:dyDescent="0.25">
      <c r="A29" s="2" t="s">
        <v>20</v>
      </c>
      <c r="B29" s="7">
        <v>1</v>
      </c>
      <c r="C29">
        <f>SUM(COUNTIF($F$3:$F$20,$B29),COUNTIF($L$3:$L$20,$B29))</f>
        <v>12</v>
      </c>
      <c r="D29">
        <f>SUM(COUNTIF($F$3:$F$11,$B29),COUNTIF($L$3:$L$11,$B29))</f>
        <v>6</v>
      </c>
      <c r="E29">
        <f>SUM(COUNTIF($F$12:$F$20,$B29),COUNTIF($L$12:$L$20,$B29))</f>
        <v>6</v>
      </c>
      <c r="F29">
        <f>SUM(D29:D31)</f>
        <v>18</v>
      </c>
      <c r="G29">
        <f>SUM(E29:E31)</f>
        <v>18</v>
      </c>
    </row>
    <row r="30" spans="1:23" x14ac:dyDescent="0.25">
      <c r="A30" s="2"/>
      <c r="B30" s="7">
        <v>2</v>
      </c>
      <c r="C30">
        <f>SUM(COUNTIF($F$3:$F$20,$B30),COUNTIF($L$3:$L$20,$B30))</f>
        <v>12</v>
      </c>
      <c r="D30">
        <f>SUM(COUNTIF($F$3:$F$11,$B30),COUNTIF($L$3:$L$11,$B30))</f>
        <v>6</v>
      </c>
      <c r="E30">
        <f>SUM(COUNTIF($F$12:$F$20,$B30),COUNTIF($L$12:$L$20,$B30))</f>
        <v>6</v>
      </c>
    </row>
    <row r="31" spans="1:23" x14ac:dyDescent="0.25">
      <c r="B31" s="7">
        <v>3</v>
      </c>
      <c r="C31">
        <f>SUM(COUNTIF($F$3:$F$20,$B31),COUNTIF($L$3:$L$20,$B31))</f>
        <v>12</v>
      </c>
      <c r="D31">
        <f>SUM(COUNTIF($F$3:$F$11,$B31),COUNTIF($L$3:$L$11,$B31))</f>
        <v>6</v>
      </c>
      <c r="E31">
        <f>SUM(COUNTIF($F$12:$F$20,$B31),COUNTIF($L$12:$L$20,$B31))</f>
        <v>6</v>
      </c>
    </row>
    <row r="32" spans="1:23" x14ac:dyDescent="0.25">
      <c r="A32" s="2" t="s">
        <v>21</v>
      </c>
      <c r="B32" s="7">
        <v>1</v>
      </c>
      <c r="C32">
        <f>SUM(COUNTIF($G$3:$G$20,$B32),COUNTIF($M$3:$M$20,$B32))</f>
        <v>12</v>
      </c>
      <c r="D32">
        <f>SUM(COUNTIF($G$3:$G$11,$B32),COUNTIF($M$3:$M$11,$B32))</f>
        <v>5</v>
      </c>
      <c r="E32">
        <f>SUM(COUNTIF($G$12:$G$20,$B32),COUNTIF($M$12:$M$20,$B32))</f>
        <v>7</v>
      </c>
      <c r="F32">
        <f>SUM(D32:D34)</f>
        <v>18</v>
      </c>
      <c r="G32">
        <f>SUM(E32:E34)</f>
        <v>18</v>
      </c>
    </row>
    <row r="33" spans="1:7" x14ac:dyDescent="0.25">
      <c r="B33" s="7">
        <v>2</v>
      </c>
      <c r="C33">
        <f>SUM(COUNTIF($G$3:$G$20,$B33),COUNTIF($M$3:$M$20,$B33))</f>
        <v>12</v>
      </c>
      <c r="D33">
        <f>SUM(COUNTIF($G$3:$G$11,$B33),COUNTIF($M$3:$M$11,$B33))</f>
        <v>7</v>
      </c>
      <c r="E33">
        <f>SUM(COUNTIF($G$12:$G$20,$B33),COUNTIF($M$12:$M$20,$B33))</f>
        <v>5</v>
      </c>
    </row>
    <row r="34" spans="1:7" x14ac:dyDescent="0.25">
      <c r="B34" s="7">
        <v>3</v>
      </c>
      <c r="C34">
        <f>SUM(COUNTIF($G$3:$G$20,$B34),COUNTIF($M$3:$M$20,$B34))</f>
        <v>12</v>
      </c>
      <c r="D34">
        <f>SUM(COUNTIF($G$3:$G$11,$B34),COUNTIF($M$3:$M$11,$B34))</f>
        <v>6</v>
      </c>
      <c r="E34">
        <f>SUM(COUNTIF($G$12:$G$20,$B34),COUNTIF($M$12:$M$20,$B34))</f>
        <v>6</v>
      </c>
    </row>
    <row r="35" spans="1:7" x14ac:dyDescent="0.25">
      <c r="A35" s="2" t="s">
        <v>22</v>
      </c>
      <c r="B35" s="7">
        <v>1</v>
      </c>
      <c r="C35">
        <f t="shared" ref="C35:C40" si="8">SUM(COUNTIF($H$3:$H$20,$B35),COUNTIF($N$3:$N$20,$B35))</f>
        <v>11</v>
      </c>
      <c r="D35">
        <f t="shared" ref="D35:D40" si="9">SUM(COUNTIF($H$3:$H$11,$B35),COUNTIF($N$3:$N$11,$B35))</f>
        <v>5</v>
      </c>
      <c r="E35">
        <f t="shared" ref="E35:E40" si="10">SUM(COUNTIF($H$12:$H$20,$B35),COUNTIF($N$12:$N$20,$B35))</f>
        <v>6</v>
      </c>
      <c r="F35">
        <f>SUM(D35:D37)</f>
        <v>18</v>
      </c>
      <c r="G35">
        <f>SUM(E35:E37)</f>
        <v>18</v>
      </c>
    </row>
    <row r="36" spans="1:7" x14ac:dyDescent="0.25">
      <c r="B36" s="7">
        <v>2</v>
      </c>
      <c r="C36">
        <f t="shared" si="8"/>
        <v>13</v>
      </c>
      <c r="D36">
        <f t="shared" si="9"/>
        <v>7</v>
      </c>
      <c r="E36">
        <f t="shared" si="10"/>
        <v>6</v>
      </c>
    </row>
    <row r="37" spans="1:7" x14ac:dyDescent="0.25">
      <c r="B37" s="7">
        <v>3</v>
      </c>
      <c r="C37">
        <f t="shared" si="8"/>
        <v>12</v>
      </c>
      <c r="D37">
        <f t="shared" si="9"/>
        <v>6</v>
      </c>
      <c r="E37">
        <f t="shared" si="10"/>
        <v>6</v>
      </c>
    </row>
    <row r="38" spans="1:7" x14ac:dyDescent="0.25">
      <c r="A38" s="2" t="s">
        <v>23</v>
      </c>
      <c r="B38" s="7">
        <v>1</v>
      </c>
      <c r="C38">
        <f t="shared" si="8"/>
        <v>11</v>
      </c>
      <c r="D38">
        <f t="shared" si="9"/>
        <v>5</v>
      </c>
      <c r="E38">
        <f t="shared" si="10"/>
        <v>6</v>
      </c>
      <c r="F38">
        <f>SUM(D38:D40)</f>
        <v>18</v>
      </c>
      <c r="G38">
        <f>SUM(E38:E40)</f>
        <v>18</v>
      </c>
    </row>
    <row r="39" spans="1:7" x14ac:dyDescent="0.25">
      <c r="B39" s="7">
        <v>2</v>
      </c>
      <c r="C39">
        <f t="shared" si="8"/>
        <v>13</v>
      </c>
      <c r="D39">
        <f t="shared" si="9"/>
        <v>7</v>
      </c>
      <c r="E39">
        <f t="shared" si="10"/>
        <v>6</v>
      </c>
    </row>
    <row r="40" spans="1:7" x14ac:dyDescent="0.25">
      <c r="B40" s="7">
        <v>3</v>
      </c>
      <c r="C40">
        <f t="shared" si="8"/>
        <v>12</v>
      </c>
      <c r="D40">
        <f t="shared" si="9"/>
        <v>6</v>
      </c>
      <c r="E40">
        <f t="shared" si="1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Attributes</vt:lpstr>
      <vt:lpstr>Design | Choice Tasks</vt:lpstr>
      <vt:lpstr>Correlations</vt:lpstr>
      <vt:lpstr>Design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Antunes, Melanie</dc:creator>
  <cp:lastModifiedBy>Antunes, Melanie</cp:lastModifiedBy>
  <dcterms:created xsi:type="dcterms:W3CDTF">2026-03-16T16:16:34Z</dcterms:created>
  <dcterms:modified xsi:type="dcterms:W3CDTF">2026-08-18T19:36:32Z</dcterms:modified>
</cp:coreProperties>
</file>